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 Testing" sheetId="1" r:id="rId5"/>
    <sheet state="visible" name="Latency Testing" sheetId="2" r:id="rId6"/>
  </sheets>
  <definedNames/>
  <calcPr/>
</workbook>
</file>

<file path=xl/sharedStrings.xml><?xml version="1.0" encoding="utf-8"?>
<sst xmlns="http://schemas.openxmlformats.org/spreadsheetml/2006/main" count="320" uniqueCount="30">
  <si>
    <t>Metric</t>
  </si>
  <si>
    <t>Value</t>
  </si>
  <si>
    <t>Average Error</t>
  </si>
  <si>
    <t>Max Error</t>
  </si>
  <si>
    <t>Min Error</t>
  </si>
  <si>
    <t>Total Trials</t>
  </si>
  <si>
    <t xml:space="preserve">Subject </t>
  </si>
  <si>
    <t>Body Part</t>
  </si>
  <si>
    <t>Trial</t>
  </si>
  <si>
    <t>TMP117 (°C)</t>
  </si>
  <si>
    <t>Reference IR (°C)</t>
  </si>
  <si>
    <t>Absolute Difference</t>
  </si>
  <si>
    <t>Subject 1</t>
  </si>
  <si>
    <t>Wrist</t>
  </si>
  <si>
    <t>Forearm</t>
  </si>
  <si>
    <t>Thigh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</si>
  <si>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</si>
  <si>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</si>
  <si>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</si>
  <si>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</si>
  <si>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</si>
  <si>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</si>
  <si>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</si>
  <si>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</si>
  <si>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</si>
  <si>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Average Latency (s)</t>
  </si>
  <si>
    <t>Std Dev (s)</t>
  </si>
  <si>
    <t>Max Latency (s)</t>
  </si>
  <si>
    <t>Min Latency (s)</t>
  </si>
  <si>
    <t>Latency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</si>
</sst>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rgb="FFFFFFFF"/>
      <name val="Roboto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2" xfId="0" applyFont="1" applyNumberFormat="1"/>
    <xf borderId="0" fillId="0" fontId="2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E293A"/>
          <bgColor rgb="FF1E293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4"/>
          <bgColor rgb="FFF2F2F4"/>
        </patternFill>
      </fill>
      <border/>
    </dxf>
    <dxf>
      <font/>
      <fill>
        <patternFill patternType="solid">
          <fgColor rgb="FF333333"/>
          <bgColor rgb="FF333333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2">
    <tableStyle count="3" pivot="0" name="Accuracy Testing-style">
      <tableStyleElement dxfId="1" type="headerRow"/>
      <tableStyleElement dxfId="2" type="firstRowStripe"/>
      <tableStyleElement dxfId="3" type="secondRowStripe"/>
    </tableStyle>
    <tableStyle count="3" pivot="0" name="Latency Testing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G158" displayName="Table_1" name="Table_1" id="1">
  <tableColumns count="6">
    <tableColumn name="Subject " id="1"/>
    <tableColumn name="Body Part" id="2"/>
    <tableColumn name="Trial" id="3"/>
    <tableColumn name="TMP117 (°C)" id="4"/>
    <tableColumn name="Reference IR (°C)" id="5"/>
    <tableColumn name="Absolute Difference" id="6"/>
  </tableColumns>
  <tableStyleInfo name="Accuracy Testing-style" showColumnStripes="0" showFirstColumn="1" showLastColumn="1" showRowStripes="1"/>
</table>
</file>

<file path=xl/tables/table2.xml><?xml version="1.0" encoding="utf-8"?>
<table xmlns="http://schemas.openxmlformats.org/spreadsheetml/2006/main" ref="B8:C28" displayName="Table_2" name="Table_2" id="2">
  <tableColumns count="2">
    <tableColumn name="Trial" id="1"/>
    <tableColumn name="Latency (s)" id="2"/>
  </tableColumns>
  <tableStyleInfo name="Latency Tes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6" max="6" width="17.5"/>
    <col customWidth="1" min="7" max="7" width="17.88"/>
  </cols>
  <sheetData>
    <row r="1" ht="6.75" customHeight="1"/>
    <row r="2">
      <c r="B2" s="1" t="s">
        <v>0</v>
      </c>
      <c r="C2" s="1" t="s">
        <v>1</v>
      </c>
      <c r="D2" s="2"/>
      <c r="E2" s="2"/>
      <c r="F2" s="2"/>
      <c r="G2" s="2"/>
    </row>
    <row r="3">
      <c r="B3" s="3" t="s">
        <v>2</v>
      </c>
      <c r="C3" s="4">
        <f>AVERAGE(G9:G158)</f>
        <v>0.2646666667</v>
      </c>
      <c r="D3" s="2"/>
      <c r="E3" s="2"/>
      <c r="F3" s="2"/>
      <c r="G3" s="2"/>
    </row>
    <row r="4">
      <c r="B4" s="3" t="s">
        <v>3</v>
      </c>
      <c r="C4" s="4">
        <f>MAX(G9:G158)</f>
        <v>0.5</v>
      </c>
      <c r="D4" s="2"/>
      <c r="E4" s="2"/>
      <c r="F4" s="2"/>
      <c r="G4" s="2"/>
    </row>
    <row r="5">
      <c r="B5" s="3" t="s">
        <v>4</v>
      </c>
      <c r="C5" s="4">
        <f>MIN(G9:G158)</f>
        <v>0.1</v>
      </c>
      <c r="D5" s="2"/>
      <c r="E5" s="2"/>
      <c r="F5" s="2"/>
      <c r="G5" s="2"/>
    </row>
    <row r="6">
      <c r="B6" s="3" t="s">
        <v>5</v>
      </c>
      <c r="C6" s="2">
        <f>COUNT(E9:E158)</f>
        <v>150</v>
      </c>
      <c r="D6" s="2"/>
      <c r="E6" s="2"/>
      <c r="F6" s="2"/>
      <c r="G6" s="2"/>
    </row>
    <row r="7">
      <c r="B7" s="2"/>
      <c r="C7" s="2"/>
      <c r="D7" s="2"/>
      <c r="E7" s="2"/>
      <c r="F7" s="2"/>
      <c r="G7" s="2"/>
    </row>
    <row r="8"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>
      <c r="B9" s="6" t="s">
        <v>12</v>
      </c>
      <c r="C9" s="6" t="s">
        <v>13</v>
      </c>
      <c r="D9" s="7">
        <v>1.0</v>
      </c>
      <c r="E9" s="8">
        <v>32.3</v>
      </c>
      <c r="F9" s="8">
        <v>32.1</v>
      </c>
      <c r="G9" s="8">
        <v>0.19999999999999574</v>
      </c>
    </row>
    <row r="10">
      <c r="B10" s="6" t="s">
        <v>12</v>
      </c>
      <c r="C10" s="6" t="s">
        <v>13</v>
      </c>
      <c r="D10" s="7">
        <v>2.0</v>
      </c>
      <c r="E10" s="8">
        <v>32.6</v>
      </c>
      <c r="F10" s="8">
        <v>32.8</v>
      </c>
      <c r="G10" s="8">
        <v>0.19999999999999574</v>
      </c>
    </row>
    <row r="11">
      <c r="B11" s="6" t="s">
        <v>12</v>
      </c>
      <c r="C11" s="6" t="s">
        <v>13</v>
      </c>
      <c r="D11" s="7">
        <v>3.0</v>
      </c>
      <c r="E11" s="8">
        <v>32.0</v>
      </c>
      <c r="F11" s="8">
        <v>32.4</v>
      </c>
      <c r="G11" s="8">
        <v>0.3999999999999986</v>
      </c>
    </row>
    <row r="12">
      <c r="B12" s="6" t="s">
        <v>12</v>
      </c>
      <c r="C12" s="6" t="s">
        <v>13</v>
      </c>
      <c r="D12" s="7">
        <v>4.0</v>
      </c>
      <c r="E12" s="8">
        <v>31.8</v>
      </c>
      <c r="F12" s="8">
        <v>31.7</v>
      </c>
      <c r="G12" s="8">
        <v>0.10000000000000142</v>
      </c>
    </row>
    <row r="13">
      <c r="B13" s="6" t="s">
        <v>12</v>
      </c>
      <c r="C13" s="6" t="s">
        <v>13</v>
      </c>
      <c r="D13" s="7">
        <v>5.0</v>
      </c>
      <c r="E13" s="8">
        <v>33.8</v>
      </c>
      <c r="F13" s="8">
        <v>33.9</v>
      </c>
      <c r="G13" s="8">
        <v>0.10000000000000142</v>
      </c>
    </row>
    <row r="14">
      <c r="B14" s="6" t="s">
        <v>12</v>
      </c>
      <c r="C14" s="6" t="s">
        <v>14</v>
      </c>
      <c r="D14" s="7">
        <v>1.0</v>
      </c>
      <c r="E14" s="8">
        <v>32.1</v>
      </c>
      <c r="F14" s="8">
        <v>32.5</v>
      </c>
      <c r="G14" s="8">
        <v>0.3999999999999986</v>
      </c>
    </row>
    <row r="15">
      <c r="B15" s="6" t="s">
        <v>12</v>
      </c>
      <c r="C15" s="6" t="s">
        <v>14</v>
      </c>
      <c r="D15" s="7">
        <v>2.0</v>
      </c>
      <c r="E15" s="8">
        <v>31.2</v>
      </c>
      <c r="F15" s="8">
        <v>31.1</v>
      </c>
      <c r="G15" s="8">
        <v>0.09999999999999787</v>
      </c>
    </row>
    <row r="16">
      <c r="B16" s="6" t="s">
        <v>12</v>
      </c>
      <c r="C16" s="6" t="s">
        <v>14</v>
      </c>
      <c r="D16" s="7">
        <v>3.0</v>
      </c>
      <c r="E16" s="8">
        <v>32.5</v>
      </c>
      <c r="F16" s="8">
        <v>32.3</v>
      </c>
      <c r="G16" s="8">
        <v>0.20000000000000284</v>
      </c>
    </row>
    <row r="17">
      <c r="B17" s="6" t="s">
        <v>12</v>
      </c>
      <c r="C17" s="6" t="s">
        <v>14</v>
      </c>
      <c r="D17" s="7">
        <v>4.0</v>
      </c>
      <c r="E17" s="8">
        <v>33.5</v>
      </c>
      <c r="F17" s="8">
        <v>33.2</v>
      </c>
      <c r="G17" s="8">
        <v>0.29999999999999716</v>
      </c>
    </row>
    <row r="18">
      <c r="B18" s="6" t="s">
        <v>12</v>
      </c>
      <c r="C18" s="6" t="s">
        <v>14</v>
      </c>
      <c r="D18" s="7">
        <v>5.0</v>
      </c>
      <c r="E18" s="8">
        <v>34.6</v>
      </c>
      <c r="F18" s="8">
        <v>34.1</v>
      </c>
      <c r="G18" s="8">
        <v>0.5</v>
      </c>
    </row>
    <row r="19">
      <c r="B19" s="6" t="s">
        <v>12</v>
      </c>
      <c r="C19" s="6" t="s">
        <v>15</v>
      </c>
      <c r="D19" s="7">
        <v>1.0</v>
      </c>
      <c r="E19" s="8">
        <v>32.3</v>
      </c>
      <c r="F19" s="8">
        <v>32.0</v>
      </c>
      <c r="G19" s="8">
        <v>0.29999999999999716</v>
      </c>
    </row>
    <row r="20">
      <c r="B20" s="6" t="s">
        <v>12</v>
      </c>
      <c r="C20" s="6" t="s">
        <v>15</v>
      </c>
      <c r="D20" s="7">
        <v>2.0</v>
      </c>
      <c r="E20" s="8">
        <v>31.5</v>
      </c>
      <c r="F20" s="8">
        <v>31.9</v>
      </c>
      <c r="G20" s="8">
        <v>0.3999999999999986</v>
      </c>
    </row>
    <row r="21">
      <c r="B21" s="6" t="s">
        <v>12</v>
      </c>
      <c r="C21" s="6" t="s">
        <v>15</v>
      </c>
      <c r="D21" s="7">
        <v>3.0</v>
      </c>
      <c r="E21" s="8">
        <v>31.3</v>
      </c>
      <c r="F21" s="8">
        <v>31.5</v>
      </c>
      <c r="G21" s="8">
        <v>0.1999999999999993</v>
      </c>
    </row>
    <row r="22">
      <c r="B22" s="6" t="s">
        <v>12</v>
      </c>
      <c r="C22" s="6" t="s">
        <v>15</v>
      </c>
      <c r="D22" s="7">
        <v>4.0</v>
      </c>
      <c r="E22" s="8">
        <v>33.7</v>
      </c>
      <c r="F22" s="8">
        <v>34.0</v>
      </c>
      <c r="G22" s="8">
        <v>0.29999999999999716</v>
      </c>
    </row>
    <row r="23">
      <c r="B23" s="6" t="s">
        <v>12</v>
      </c>
      <c r="C23" s="6" t="s">
        <v>15</v>
      </c>
      <c r="D23" s="7">
        <v>5.0</v>
      </c>
      <c r="E23" s="8">
        <v>32.5</v>
      </c>
      <c r="F23" s="8">
        <v>32.0</v>
      </c>
      <c r="G23" s="8">
        <v>0.5</v>
      </c>
    </row>
    <row r="24">
      <c r="B24" s="6" t="s">
        <v>16</v>
      </c>
      <c r="C24" s="6" t="s">
        <v>13</v>
      </c>
      <c r="D24" s="7">
        <v>1.0</v>
      </c>
      <c r="E24" s="8">
        <v>32.6</v>
      </c>
      <c r="F24" s="8">
        <v>32.2</v>
      </c>
      <c r="G24" s="8">
        <v>0.3999999999999986</v>
      </c>
    </row>
    <row r="25">
      <c r="B25" s="6" t="s">
        <v>16</v>
      </c>
      <c r="C25" s="6" t="s">
        <v>13</v>
      </c>
      <c r="D25" s="7">
        <v>2.0</v>
      </c>
      <c r="E25" s="8">
        <v>31.7</v>
      </c>
      <c r="F25" s="8">
        <v>31.3</v>
      </c>
      <c r="G25" s="8">
        <v>0.3999999999999986</v>
      </c>
    </row>
    <row r="26">
      <c r="B26" s="6" t="s">
        <v>16</v>
      </c>
      <c r="C26" s="6" t="s">
        <v>13</v>
      </c>
      <c r="D26" s="7">
        <v>3.0</v>
      </c>
      <c r="E26" s="8">
        <v>33.1</v>
      </c>
      <c r="F26" s="8">
        <v>33.0</v>
      </c>
      <c r="G26" s="8">
        <v>0.10000000000000142</v>
      </c>
    </row>
    <row r="27">
      <c r="B27" s="6" t="s">
        <v>16</v>
      </c>
      <c r="C27" s="6" t="s">
        <v>13</v>
      </c>
      <c r="D27" s="7">
        <v>4.0</v>
      </c>
      <c r="E27" s="8">
        <v>31.8</v>
      </c>
      <c r="F27" s="8">
        <v>31.7</v>
      </c>
      <c r="G27" s="8">
        <v>0.10000000000000142</v>
      </c>
    </row>
    <row r="28">
      <c r="B28" s="6" t="s">
        <v>16</v>
      </c>
      <c r="C28" s="6" t="s">
        <v>13</v>
      </c>
      <c r="D28" s="7">
        <v>5.0</v>
      </c>
      <c r="E28" s="8">
        <v>32.9</v>
      </c>
      <c r="F28" s="8">
        <v>32.7</v>
      </c>
      <c r="G28" s="8">
        <v>0.19999999999999574</v>
      </c>
    </row>
    <row r="29">
      <c r="B29" s="6" t="s">
        <v>16</v>
      </c>
      <c r="C29" s="6" t="s">
        <v>14</v>
      </c>
      <c r="D29" s="7">
        <v>1.0</v>
      </c>
      <c r="E29" s="8">
        <v>33.4</v>
      </c>
      <c r="F29" s="8">
        <v>33.3</v>
      </c>
      <c r="G29" s="8">
        <v>0.10000000000000142</v>
      </c>
    </row>
    <row r="30">
      <c r="B30" s="6" t="s">
        <v>16</v>
      </c>
      <c r="C30" s="6" t="s">
        <v>14</v>
      </c>
      <c r="D30" s="7">
        <v>2.0</v>
      </c>
      <c r="E30" s="8">
        <v>30.9</v>
      </c>
      <c r="F30" s="8">
        <v>31.3</v>
      </c>
      <c r="G30" s="8">
        <v>0.40000000000000213</v>
      </c>
    </row>
    <row r="31">
      <c r="B31" s="6" t="s">
        <v>16</v>
      </c>
      <c r="C31" s="6" t="s">
        <v>14</v>
      </c>
      <c r="D31" s="7">
        <v>3.0</v>
      </c>
      <c r="E31" s="8">
        <v>32.0</v>
      </c>
      <c r="F31" s="8">
        <v>32.1</v>
      </c>
      <c r="G31" s="8">
        <v>0.10000000000000142</v>
      </c>
    </row>
    <row r="32">
      <c r="B32" s="6" t="s">
        <v>16</v>
      </c>
      <c r="C32" s="6" t="s">
        <v>14</v>
      </c>
      <c r="D32" s="7">
        <v>4.0</v>
      </c>
      <c r="E32" s="8">
        <v>32.3</v>
      </c>
      <c r="F32" s="8">
        <v>32.6</v>
      </c>
      <c r="G32" s="8">
        <v>0.30000000000000426</v>
      </c>
    </row>
    <row r="33">
      <c r="B33" s="6" t="s">
        <v>16</v>
      </c>
      <c r="C33" s="6" t="s">
        <v>14</v>
      </c>
      <c r="D33" s="7">
        <v>5.0</v>
      </c>
      <c r="E33" s="8">
        <v>31.5</v>
      </c>
      <c r="F33" s="8">
        <v>31.9</v>
      </c>
      <c r="G33" s="8">
        <v>0.3999999999999986</v>
      </c>
    </row>
    <row r="34">
      <c r="B34" s="6" t="s">
        <v>16</v>
      </c>
      <c r="C34" s="6" t="s">
        <v>15</v>
      </c>
      <c r="D34" s="7">
        <v>1.0</v>
      </c>
      <c r="E34" s="8">
        <v>31.3</v>
      </c>
      <c r="F34" s="8">
        <v>31.2</v>
      </c>
      <c r="G34" s="8">
        <v>0.10000000000000142</v>
      </c>
    </row>
    <row r="35">
      <c r="B35" s="6" t="s">
        <v>16</v>
      </c>
      <c r="C35" s="6" t="s">
        <v>15</v>
      </c>
      <c r="D35" s="7">
        <v>2.0</v>
      </c>
      <c r="E35" s="8">
        <v>33.1</v>
      </c>
      <c r="F35" s="8">
        <v>33.5</v>
      </c>
      <c r="G35" s="8">
        <v>0.3999999999999986</v>
      </c>
    </row>
    <row r="36">
      <c r="B36" s="6" t="s">
        <v>16</v>
      </c>
      <c r="C36" s="6" t="s">
        <v>15</v>
      </c>
      <c r="D36" s="7">
        <v>3.0</v>
      </c>
      <c r="E36" s="8">
        <v>34.3</v>
      </c>
      <c r="F36" s="8">
        <v>34.5</v>
      </c>
      <c r="G36" s="8">
        <v>0.20000000000000284</v>
      </c>
    </row>
    <row r="37">
      <c r="B37" s="6" t="s">
        <v>16</v>
      </c>
      <c r="C37" s="6" t="s">
        <v>15</v>
      </c>
      <c r="D37" s="7">
        <v>4.0</v>
      </c>
      <c r="E37" s="8">
        <v>33.3</v>
      </c>
      <c r="F37" s="8">
        <v>33.7</v>
      </c>
      <c r="G37" s="8">
        <v>0.4000000000000057</v>
      </c>
    </row>
    <row r="38">
      <c r="B38" s="6" t="s">
        <v>16</v>
      </c>
      <c r="C38" s="6" t="s">
        <v>15</v>
      </c>
      <c r="D38" s="7">
        <v>5.0</v>
      </c>
      <c r="E38" s="8">
        <v>31.5</v>
      </c>
      <c r="F38" s="8">
        <v>31.1</v>
      </c>
      <c r="G38" s="8">
        <v>0.3999999999999986</v>
      </c>
    </row>
    <row r="39">
      <c r="B39" s="6" t="s">
        <v>17</v>
      </c>
      <c r="C39" s="6" t="s">
        <v>13</v>
      </c>
      <c r="D39" s="7">
        <v>1.0</v>
      </c>
      <c r="E39" s="8">
        <v>33.9</v>
      </c>
      <c r="F39" s="8">
        <v>34.1</v>
      </c>
      <c r="G39" s="8">
        <v>0.20000000000000284</v>
      </c>
    </row>
    <row r="40">
      <c r="B40" s="6" t="s">
        <v>17</v>
      </c>
      <c r="C40" s="6" t="s">
        <v>13</v>
      </c>
      <c r="D40" s="7">
        <v>2.0</v>
      </c>
      <c r="E40" s="8">
        <v>32.6</v>
      </c>
      <c r="F40" s="8">
        <v>33.0</v>
      </c>
      <c r="G40" s="8">
        <v>0.3999999999999986</v>
      </c>
    </row>
    <row r="41">
      <c r="B41" s="6" t="s">
        <v>17</v>
      </c>
      <c r="C41" s="6" t="s">
        <v>13</v>
      </c>
      <c r="D41" s="7">
        <v>3.0</v>
      </c>
      <c r="E41" s="8">
        <v>32.2</v>
      </c>
      <c r="F41" s="8">
        <v>32.1</v>
      </c>
      <c r="G41" s="8">
        <v>0.10000000000000142</v>
      </c>
    </row>
    <row r="42">
      <c r="B42" s="6" t="s">
        <v>17</v>
      </c>
      <c r="C42" s="6" t="s">
        <v>13</v>
      </c>
      <c r="D42" s="7">
        <v>4.0</v>
      </c>
      <c r="E42" s="8">
        <v>32.7</v>
      </c>
      <c r="F42" s="8">
        <v>32.5</v>
      </c>
      <c r="G42" s="8">
        <v>0.20000000000000284</v>
      </c>
    </row>
    <row r="43">
      <c r="B43" s="6" t="s">
        <v>17</v>
      </c>
      <c r="C43" s="6" t="s">
        <v>13</v>
      </c>
      <c r="D43" s="7">
        <v>5.0</v>
      </c>
      <c r="E43" s="8">
        <v>30.8</v>
      </c>
      <c r="F43" s="8">
        <v>31.3</v>
      </c>
      <c r="G43" s="8">
        <v>0.5</v>
      </c>
    </row>
    <row r="44">
      <c r="B44" s="6" t="s">
        <v>17</v>
      </c>
      <c r="C44" s="6" t="s">
        <v>14</v>
      </c>
      <c r="D44" s="7">
        <v>1.0</v>
      </c>
      <c r="E44" s="8">
        <v>31.7</v>
      </c>
      <c r="F44" s="8">
        <v>31.3</v>
      </c>
      <c r="G44" s="8">
        <v>0.3999999999999986</v>
      </c>
    </row>
    <row r="45">
      <c r="B45" s="6" t="s">
        <v>17</v>
      </c>
      <c r="C45" s="6" t="s">
        <v>14</v>
      </c>
      <c r="D45" s="7">
        <v>2.0</v>
      </c>
      <c r="E45" s="8">
        <v>31.8</v>
      </c>
      <c r="F45" s="8">
        <v>32.2</v>
      </c>
      <c r="G45" s="8">
        <v>0.40000000000000213</v>
      </c>
    </row>
    <row r="46">
      <c r="B46" s="6" t="s">
        <v>17</v>
      </c>
      <c r="C46" s="6" t="s">
        <v>14</v>
      </c>
      <c r="D46" s="7">
        <v>3.0</v>
      </c>
      <c r="E46" s="8">
        <v>34.4</v>
      </c>
      <c r="F46" s="8">
        <v>34.0</v>
      </c>
      <c r="G46" s="8">
        <v>0.3999999999999986</v>
      </c>
    </row>
    <row r="47">
      <c r="B47" s="6" t="s">
        <v>17</v>
      </c>
      <c r="C47" s="6" t="s">
        <v>14</v>
      </c>
      <c r="D47" s="7">
        <v>4.0</v>
      </c>
      <c r="E47" s="8">
        <v>34.3</v>
      </c>
      <c r="F47" s="8">
        <v>34.1</v>
      </c>
      <c r="G47" s="8">
        <v>0.19999999999999574</v>
      </c>
    </row>
    <row r="48">
      <c r="B48" s="6" t="s">
        <v>17</v>
      </c>
      <c r="C48" s="6" t="s">
        <v>14</v>
      </c>
      <c r="D48" s="7">
        <v>5.0</v>
      </c>
      <c r="E48" s="8">
        <v>33.0</v>
      </c>
      <c r="F48" s="8">
        <v>33.2</v>
      </c>
      <c r="G48" s="8">
        <v>0.20000000000000284</v>
      </c>
    </row>
    <row r="49">
      <c r="B49" s="6" t="s">
        <v>17</v>
      </c>
      <c r="C49" s="6" t="s">
        <v>15</v>
      </c>
      <c r="D49" s="7">
        <v>1.0</v>
      </c>
      <c r="E49" s="8">
        <v>34.1</v>
      </c>
      <c r="F49" s="8">
        <v>34.3</v>
      </c>
      <c r="G49" s="8">
        <v>0.19999999999999574</v>
      </c>
    </row>
    <row r="50">
      <c r="B50" s="6" t="s">
        <v>17</v>
      </c>
      <c r="C50" s="6" t="s">
        <v>15</v>
      </c>
      <c r="D50" s="7">
        <v>2.0</v>
      </c>
      <c r="E50" s="8">
        <v>31.2</v>
      </c>
      <c r="F50" s="8">
        <v>31.3</v>
      </c>
      <c r="G50" s="8">
        <v>0.10000000000000142</v>
      </c>
    </row>
    <row r="51">
      <c r="B51" s="6" t="s">
        <v>17</v>
      </c>
      <c r="C51" s="6" t="s">
        <v>15</v>
      </c>
      <c r="D51" s="7">
        <v>3.0</v>
      </c>
      <c r="E51" s="8">
        <v>32.7</v>
      </c>
      <c r="F51" s="8">
        <v>32.4</v>
      </c>
      <c r="G51" s="8">
        <v>0.30000000000000426</v>
      </c>
    </row>
    <row r="52">
      <c r="B52" s="6" t="s">
        <v>17</v>
      </c>
      <c r="C52" s="6" t="s">
        <v>15</v>
      </c>
      <c r="D52" s="7">
        <v>4.0</v>
      </c>
      <c r="E52" s="8">
        <v>31.1</v>
      </c>
      <c r="F52" s="8">
        <v>31.4</v>
      </c>
      <c r="G52" s="8">
        <v>0.29999999999999716</v>
      </c>
    </row>
    <row r="53">
      <c r="B53" s="6" t="s">
        <v>17</v>
      </c>
      <c r="C53" s="6" t="s">
        <v>15</v>
      </c>
      <c r="D53" s="7">
        <v>5.0</v>
      </c>
      <c r="E53" s="8">
        <v>34.6</v>
      </c>
      <c r="F53" s="8">
        <v>34.2</v>
      </c>
      <c r="G53" s="8">
        <v>0.3999999999999986</v>
      </c>
    </row>
    <row r="54">
      <c r="B54" s="6" t="s">
        <v>18</v>
      </c>
      <c r="C54" s="6" t="s">
        <v>13</v>
      </c>
      <c r="D54" s="7">
        <v>1.0</v>
      </c>
      <c r="E54" s="8">
        <v>33.5</v>
      </c>
      <c r="F54" s="8">
        <v>33.3</v>
      </c>
      <c r="G54" s="8">
        <v>0.20000000000000284</v>
      </c>
    </row>
    <row r="55">
      <c r="B55" s="6" t="s">
        <v>18</v>
      </c>
      <c r="C55" s="6" t="s">
        <v>13</v>
      </c>
      <c r="D55" s="7">
        <v>2.0</v>
      </c>
      <c r="E55" s="8">
        <v>31.7</v>
      </c>
      <c r="F55" s="8">
        <v>32.2</v>
      </c>
      <c r="G55" s="8">
        <v>0.5000000000000036</v>
      </c>
    </row>
    <row r="56">
      <c r="B56" s="6" t="s">
        <v>18</v>
      </c>
      <c r="C56" s="6" t="s">
        <v>13</v>
      </c>
      <c r="D56" s="7">
        <v>3.0</v>
      </c>
      <c r="E56" s="8">
        <v>32.9</v>
      </c>
      <c r="F56" s="8">
        <v>32.8</v>
      </c>
      <c r="G56" s="8">
        <v>0.10000000000000142</v>
      </c>
    </row>
    <row r="57">
      <c r="B57" s="6" t="s">
        <v>18</v>
      </c>
      <c r="C57" s="6" t="s">
        <v>13</v>
      </c>
      <c r="D57" s="7">
        <v>4.0</v>
      </c>
      <c r="E57" s="8">
        <v>33.4</v>
      </c>
      <c r="F57" s="8">
        <v>33.3</v>
      </c>
      <c r="G57" s="8">
        <v>0.10000000000000142</v>
      </c>
    </row>
    <row r="58">
      <c r="B58" s="6" t="s">
        <v>18</v>
      </c>
      <c r="C58" s="6" t="s">
        <v>13</v>
      </c>
      <c r="D58" s="7">
        <v>5.0</v>
      </c>
      <c r="E58" s="8">
        <v>32.3</v>
      </c>
      <c r="F58" s="8">
        <v>31.8</v>
      </c>
      <c r="G58" s="8">
        <v>0.49999999999999645</v>
      </c>
    </row>
    <row r="59">
      <c r="B59" s="6" t="s">
        <v>18</v>
      </c>
      <c r="C59" s="6" t="s">
        <v>14</v>
      </c>
      <c r="D59" s="7">
        <v>1.0</v>
      </c>
      <c r="E59" s="8">
        <v>34.4</v>
      </c>
      <c r="F59" s="8">
        <v>34.1</v>
      </c>
      <c r="G59" s="8">
        <v>0.29999999999999716</v>
      </c>
    </row>
    <row r="60">
      <c r="B60" s="6" t="s">
        <v>18</v>
      </c>
      <c r="C60" s="6" t="s">
        <v>14</v>
      </c>
      <c r="D60" s="7">
        <v>2.0</v>
      </c>
      <c r="E60" s="8">
        <v>34.2</v>
      </c>
      <c r="F60" s="8">
        <v>34.1</v>
      </c>
      <c r="G60" s="8">
        <v>0.10000000000000142</v>
      </c>
    </row>
    <row r="61">
      <c r="B61" s="6" t="s">
        <v>18</v>
      </c>
      <c r="C61" s="6" t="s">
        <v>14</v>
      </c>
      <c r="D61" s="7">
        <v>3.0</v>
      </c>
      <c r="E61" s="8">
        <v>34.1</v>
      </c>
      <c r="F61" s="8">
        <v>34.2</v>
      </c>
      <c r="G61" s="8">
        <v>0.10000000000000142</v>
      </c>
    </row>
    <row r="62">
      <c r="B62" s="6" t="s">
        <v>18</v>
      </c>
      <c r="C62" s="6" t="s">
        <v>14</v>
      </c>
      <c r="D62" s="7">
        <v>4.0</v>
      </c>
      <c r="E62" s="8">
        <v>33.5</v>
      </c>
      <c r="F62" s="8">
        <v>33.2</v>
      </c>
      <c r="G62" s="8">
        <v>0.29999999999999716</v>
      </c>
    </row>
    <row r="63">
      <c r="B63" s="6" t="s">
        <v>18</v>
      </c>
      <c r="C63" s="6" t="s">
        <v>14</v>
      </c>
      <c r="D63" s="7">
        <v>5.0</v>
      </c>
      <c r="E63" s="8">
        <v>33.0</v>
      </c>
      <c r="F63" s="8">
        <v>32.9</v>
      </c>
      <c r="G63" s="8">
        <v>0.10000000000000142</v>
      </c>
    </row>
    <row r="64">
      <c r="B64" s="6" t="s">
        <v>18</v>
      </c>
      <c r="C64" s="6" t="s">
        <v>15</v>
      </c>
      <c r="D64" s="7">
        <v>1.0</v>
      </c>
      <c r="E64" s="8">
        <v>32.1</v>
      </c>
      <c r="F64" s="8">
        <v>32.2</v>
      </c>
      <c r="G64" s="8">
        <v>0.10000000000000142</v>
      </c>
    </row>
    <row r="65">
      <c r="B65" s="6" t="s">
        <v>18</v>
      </c>
      <c r="C65" s="6" t="s">
        <v>15</v>
      </c>
      <c r="D65" s="7">
        <v>2.0</v>
      </c>
      <c r="E65" s="8">
        <v>33.8</v>
      </c>
      <c r="F65" s="8">
        <v>33.3</v>
      </c>
      <c r="G65" s="8">
        <v>0.5</v>
      </c>
    </row>
    <row r="66">
      <c r="B66" s="6" t="s">
        <v>18</v>
      </c>
      <c r="C66" s="6" t="s">
        <v>15</v>
      </c>
      <c r="D66" s="7">
        <v>3.0</v>
      </c>
      <c r="E66" s="8">
        <v>31.2</v>
      </c>
      <c r="F66" s="8">
        <v>31.1</v>
      </c>
      <c r="G66" s="8">
        <v>0.09999999999999787</v>
      </c>
    </row>
    <row r="67">
      <c r="B67" s="6" t="s">
        <v>18</v>
      </c>
      <c r="C67" s="6" t="s">
        <v>15</v>
      </c>
      <c r="D67" s="7">
        <v>4.0</v>
      </c>
      <c r="E67" s="8">
        <v>33.7</v>
      </c>
      <c r="F67" s="8">
        <v>33.5</v>
      </c>
      <c r="G67" s="8">
        <v>0.20000000000000284</v>
      </c>
    </row>
    <row r="68">
      <c r="B68" s="6" t="s">
        <v>18</v>
      </c>
      <c r="C68" s="6" t="s">
        <v>15</v>
      </c>
      <c r="D68" s="7">
        <v>5.0</v>
      </c>
      <c r="E68" s="8">
        <v>32.9</v>
      </c>
      <c r="F68" s="8">
        <v>33.4</v>
      </c>
      <c r="G68" s="8">
        <v>0.5</v>
      </c>
    </row>
    <row r="69">
      <c r="B69" s="6" t="s">
        <v>19</v>
      </c>
      <c r="C69" s="6" t="s">
        <v>13</v>
      </c>
      <c r="D69" s="7">
        <v>1.0</v>
      </c>
      <c r="E69" s="8">
        <v>34.6</v>
      </c>
      <c r="F69" s="8">
        <v>34.3</v>
      </c>
      <c r="G69" s="8">
        <v>0.30000000000000426</v>
      </c>
    </row>
    <row r="70">
      <c r="B70" s="6" t="s">
        <v>19</v>
      </c>
      <c r="C70" s="6" t="s">
        <v>13</v>
      </c>
      <c r="D70" s="7">
        <v>2.0</v>
      </c>
      <c r="E70" s="8">
        <v>31.2</v>
      </c>
      <c r="F70" s="8">
        <v>31.1</v>
      </c>
      <c r="G70" s="8">
        <v>0.09999999999999787</v>
      </c>
    </row>
    <row r="71">
      <c r="B71" s="6" t="s">
        <v>19</v>
      </c>
      <c r="C71" s="6" t="s">
        <v>13</v>
      </c>
      <c r="D71" s="7">
        <v>3.0</v>
      </c>
      <c r="E71" s="8">
        <v>34.6</v>
      </c>
      <c r="F71" s="8">
        <v>34.5</v>
      </c>
      <c r="G71" s="8">
        <v>0.10000000000000142</v>
      </c>
    </row>
    <row r="72">
      <c r="B72" s="6" t="s">
        <v>19</v>
      </c>
      <c r="C72" s="6" t="s">
        <v>13</v>
      </c>
      <c r="D72" s="7">
        <v>4.0</v>
      </c>
      <c r="E72" s="8">
        <v>33.7</v>
      </c>
      <c r="F72" s="8">
        <v>33.4</v>
      </c>
      <c r="G72" s="8">
        <v>0.30000000000000426</v>
      </c>
    </row>
    <row r="73">
      <c r="B73" s="6" t="s">
        <v>19</v>
      </c>
      <c r="C73" s="6" t="s">
        <v>13</v>
      </c>
      <c r="D73" s="7">
        <v>5.0</v>
      </c>
      <c r="E73" s="8">
        <v>31.7</v>
      </c>
      <c r="F73" s="8">
        <v>31.8</v>
      </c>
      <c r="G73" s="8">
        <v>0.10000000000000142</v>
      </c>
    </row>
    <row r="74">
      <c r="B74" s="6" t="s">
        <v>19</v>
      </c>
      <c r="C74" s="6" t="s">
        <v>14</v>
      </c>
      <c r="D74" s="7">
        <v>1.0</v>
      </c>
      <c r="E74" s="8">
        <v>33.0</v>
      </c>
      <c r="F74" s="8">
        <v>32.6</v>
      </c>
      <c r="G74" s="8">
        <v>0.3999999999999986</v>
      </c>
    </row>
    <row r="75">
      <c r="B75" s="6" t="s">
        <v>19</v>
      </c>
      <c r="C75" s="6" t="s">
        <v>14</v>
      </c>
      <c r="D75" s="7">
        <v>2.0</v>
      </c>
      <c r="E75" s="8">
        <v>33.7</v>
      </c>
      <c r="F75" s="8">
        <v>33.2</v>
      </c>
      <c r="G75" s="8">
        <v>0.5</v>
      </c>
    </row>
    <row r="76">
      <c r="B76" s="6" t="s">
        <v>19</v>
      </c>
      <c r="C76" s="6" t="s">
        <v>14</v>
      </c>
      <c r="D76" s="7">
        <v>3.0</v>
      </c>
      <c r="E76" s="8">
        <v>30.8</v>
      </c>
      <c r="F76" s="8">
        <v>31.0</v>
      </c>
      <c r="G76" s="8">
        <v>0.1999999999999993</v>
      </c>
    </row>
    <row r="77">
      <c r="B77" s="6" t="s">
        <v>19</v>
      </c>
      <c r="C77" s="6" t="s">
        <v>14</v>
      </c>
      <c r="D77" s="7">
        <v>4.0</v>
      </c>
      <c r="E77" s="8">
        <v>31.9</v>
      </c>
      <c r="F77" s="8">
        <v>31.8</v>
      </c>
      <c r="G77" s="8">
        <v>0.09999999999999787</v>
      </c>
    </row>
    <row r="78">
      <c r="B78" s="6" t="s">
        <v>19</v>
      </c>
      <c r="C78" s="6" t="s">
        <v>14</v>
      </c>
      <c r="D78" s="7">
        <v>5.0</v>
      </c>
      <c r="E78" s="8">
        <v>31.3</v>
      </c>
      <c r="F78" s="8">
        <v>31.1</v>
      </c>
      <c r="G78" s="8">
        <v>0.1999999999999993</v>
      </c>
    </row>
    <row r="79">
      <c r="B79" s="6" t="s">
        <v>19</v>
      </c>
      <c r="C79" s="6" t="s">
        <v>15</v>
      </c>
      <c r="D79" s="7">
        <v>1.0</v>
      </c>
      <c r="E79" s="8">
        <v>34.0</v>
      </c>
      <c r="F79" s="8">
        <v>33.9</v>
      </c>
      <c r="G79" s="8">
        <v>0.10000000000000142</v>
      </c>
    </row>
    <row r="80">
      <c r="B80" s="6" t="s">
        <v>19</v>
      </c>
      <c r="C80" s="6" t="s">
        <v>15</v>
      </c>
      <c r="D80" s="7">
        <v>2.0</v>
      </c>
      <c r="E80" s="8">
        <v>33.0</v>
      </c>
      <c r="F80" s="8">
        <v>32.6</v>
      </c>
      <c r="G80" s="8">
        <v>0.3999999999999986</v>
      </c>
    </row>
    <row r="81">
      <c r="B81" s="6" t="s">
        <v>19</v>
      </c>
      <c r="C81" s="6" t="s">
        <v>15</v>
      </c>
      <c r="D81" s="7">
        <v>3.0</v>
      </c>
      <c r="E81" s="8">
        <v>34.6</v>
      </c>
      <c r="F81" s="8">
        <v>34.5</v>
      </c>
      <c r="G81" s="8">
        <v>0.10000000000000142</v>
      </c>
    </row>
    <row r="82">
      <c r="B82" s="6" t="s">
        <v>19</v>
      </c>
      <c r="C82" s="6" t="s">
        <v>15</v>
      </c>
      <c r="D82" s="7">
        <v>4.0</v>
      </c>
      <c r="E82" s="8">
        <v>33.2</v>
      </c>
      <c r="F82" s="8">
        <v>33.3</v>
      </c>
      <c r="G82" s="8">
        <v>0.09999999999999432</v>
      </c>
    </row>
    <row r="83">
      <c r="B83" s="6" t="s">
        <v>19</v>
      </c>
      <c r="C83" s="6" t="s">
        <v>15</v>
      </c>
      <c r="D83" s="7">
        <v>5.0</v>
      </c>
      <c r="E83" s="9">
        <v>33.8</v>
      </c>
      <c r="F83" s="9">
        <v>33.9</v>
      </c>
      <c r="G83" s="9">
        <v>0.10000000000000142</v>
      </c>
    </row>
    <row r="84">
      <c r="B84" s="6" t="s">
        <v>20</v>
      </c>
      <c r="C84" s="6" t="s">
        <v>13</v>
      </c>
      <c r="D84" s="7">
        <v>1.0</v>
      </c>
      <c r="E84" s="8">
        <v>34.6</v>
      </c>
      <c r="F84" s="8">
        <v>34.4</v>
      </c>
      <c r="G84" s="8">
        <v>0.20000000000000284</v>
      </c>
    </row>
    <row r="85">
      <c r="B85" s="6" t="s">
        <v>20</v>
      </c>
      <c r="C85" s="6" t="s">
        <v>13</v>
      </c>
      <c r="D85" s="7">
        <v>2.0</v>
      </c>
      <c r="E85" s="8">
        <v>31.9</v>
      </c>
      <c r="F85" s="8">
        <v>31.8</v>
      </c>
      <c r="G85" s="8">
        <v>0.09999999999999787</v>
      </c>
    </row>
    <row r="86">
      <c r="B86" s="6" t="s">
        <v>20</v>
      </c>
      <c r="C86" s="6" t="s">
        <v>13</v>
      </c>
      <c r="D86" s="7">
        <v>3.0</v>
      </c>
      <c r="E86" s="8">
        <v>32.5</v>
      </c>
      <c r="F86" s="8">
        <v>32.4</v>
      </c>
      <c r="G86" s="8">
        <v>0.10000000000000142</v>
      </c>
    </row>
    <row r="87">
      <c r="B87" s="6" t="s">
        <v>20</v>
      </c>
      <c r="C87" s="6" t="s">
        <v>13</v>
      </c>
      <c r="D87" s="7">
        <v>4.0</v>
      </c>
      <c r="E87" s="8">
        <v>33.0</v>
      </c>
      <c r="F87" s="8">
        <v>32.6</v>
      </c>
      <c r="G87" s="8">
        <v>0.3999999999999986</v>
      </c>
    </row>
    <row r="88">
      <c r="B88" s="6" t="s">
        <v>20</v>
      </c>
      <c r="C88" s="6" t="s">
        <v>13</v>
      </c>
      <c r="D88" s="7">
        <v>5.0</v>
      </c>
      <c r="E88" s="8">
        <v>31.5</v>
      </c>
      <c r="F88" s="8">
        <v>31.2</v>
      </c>
      <c r="G88" s="8">
        <v>0.3000000000000007</v>
      </c>
    </row>
    <row r="89">
      <c r="B89" s="6" t="s">
        <v>20</v>
      </c>
      <c r="C89" s="6" t="s">
        <v>14</v>
      </c>
      <c r="D89" s="7">
        <v>1.0</v>
      </c>
      <c r="E89" s="8">
        <v>32.2</v>
      </c>
      <c r="F89" s="8">
        <v>31.9</v>
      </c>
      <c r="G89" s="8">
        <v>0.30000000000000426</v>
      </c>
    </row>
    <row r="90">
      <c r="B90" s="6" t="s">
        <v>20</v>
      </c>
      <c r="C90" s="6" t="s">
        <v>14</v>
      </c>
      <c r="D90" s="7">
        <v>2.0</v>
      </c>
      <c r="E90" s="8">
        <v>33.9</v>
      </c>
      <c r="F90" s="8">
        <v>34.3</v>
      </c>
      <c r="G90" s="8">
        <v>0.3999999999999986</v>
      </c>
    </row>
    <row r="91">
      <c r="B91" s="6" t="s">
        <v>20</v>
      </c>
      <c r="C91" s="6" t="s">
        <v>14</v>
      </c>
      <c r="D91" s="7">
        <v>3.0</v>
      </c>
      <c r="E91" s="9">
        <v>32.2</v>
      </c>
      <c r="F91" s="9">
        <v>32.3</v>
      </c>
      <c r="G91" s="9">
        <v>0.09999999999999432</v>
      </c>
    </row>
    <row r="92">
      <c r="B92" s="6" t="s">
        <v>20</v>
      </c>
      <c r="C92" s="6" t="s">
        <v>14</v>
      </c>
      <c r="D92" s="7">
        <v>4.0</v>
      </c>
      <c r="E92" s="8">
        <v>32.8</v>
      </c>
      <c r="F92" s="8">
        <v>32.4</v>
      </c>
      <c r="G92" s="8">
        <v>0.3999999999999986</v>
      </c>
    </row>
    <row r="93">
      <c r="B93" s="6" t="s">
        <v>20</v>
      </c>
      <c r="C93" s="6" t="s">
        <v>14</v>
      </c>
      <c r="D93" s="7">
        <v>5.0</v>
      </c>
      <c r="E93" s="8">
        <v>30.8</v>
      </c>
      <c r="F93" s="8">
        <v>31.1</v>
      </c>
      <c r="G93" s="8">
        <v>0.3000000000000007</v>
      </c>
    </row>
    <row r="94">
      <c r="B94" s="6" t="s">
        <v>20</v>
      </c>
      <c r="C94" s="6" t="s">
        <v>15</v>
      </c>
      <c r="D94" s="7">
        <v>1.0</v>
      </c>
      <c r="E94" s="8">
        <v>32.0</v>
      </c>
      <c r="F94" s="8">
        <v>31.8</v>
      </c>
      <c r="G94" s="8">
        <v>0.1999999999999993</v>
      </c>
    </row>
    <row r="95">
      <c r="B95" s="6" t="s">
        <v>20</v>
      </c>
      <c r="C95" s="6" t="s">
        <v>15</v>
      </c>
      <c r="D95" s="7">
        <v>2.0</v>
      </c>
      <c r="E95" s="8">
        <v>31.9</v>
      </c>
      <c r="F95" s="8">
        <v>31.6</v>
      </c>
      <c r="G95" s="8">
        <v>0.29999999999999716</v>
      </c>
    </row>
    <row r="96">
      <c r="B96" s="6" t="s">
        <v>20</v>
      </c>
      <c r="C96" s="6" t="s">
        <v>15</v>
      </c>
      <c r="D96" s="7">
        <v>3.0</v>
      </c>
      <c r="E96" s="8">
        <v>32.2</v>
      </c>
      <c r="F96" s="8">
        <v>32.6</v>
      </c>
      <c r="G96" s="8">
        <v>0.3999999999999986</v>
      </c>
    </row>
    <row r="97">
      <c r="B97" s="6" t="s">
        <v>20</v>
      </c>
      <c r="C97" s="6" t="s">
        <v>15</v>
      </c>
      <c r="D97" s="7">
        <v>4.0</v>
      </c>
      <c r="E97" s="8">
        <v>33.9</v>
      </c>
      <c r="F97" s="8">
        <v>33.6</v>
      </c>
      <c r="G97" s="8">
        <v>0.29999999999999716</v>
      </c>
    </row>
    <row r="98">
      <c r="B98" s="6" t="s">
        <v>20</v>
      </c>
      <c r="C98" s="6" t="s">
        <v>15</v>
      </c>
      <c r="D98" s="7">
        <v>5.0</v>
      </c>
      <c r="E98" s="8">
        <v>33.8</v>
      </c>
      <c r="F98" s="8">
        <v>34.2</v>
      </c>
      <c r="G98" s="8">
        <v>0.4000000000000057</v>
      </c>
    </row>
    <row r="99">
      <c r="B99" s="6" t="s">
        <v>21</v>
      </c>
      <c r="C99" s="6" t="s">
        <v>13</v>
      </c>
      <c r="D99" s="7">
        <v>1.0</v>
      </c>
      <c r="E99" s="8">
        <v>33.2</v>
      </c>
      <c r="F99" s="8">
        <v>33.0</v>
      </c>
      <c r="G99" s="8">
        <v>0.20000000000000284</v>
      </c>
    </row>
    <row r="100">
      <c r="B100" s="6" t="s">
        <v>21</v>
      </c>
      <c r="C100" s="6" t="s">
        <v>13</v>
      </c>
      <c r="D100" s="7">
        <v>2.0</v>
      </c>
      <c r="E100" s="8">
        <v>32.2</v>
      </c>
      <c r="F100" s="8">
        <v>32.5</v>
      </c>
      <c r="G100" s="8">
        <v>0.29999999999999716</v>
      </c>
    </row>
    <row r="101">
      <c r="B101" s="6" t="s">
        <v>21</v>
      </c>
      <c r="C101" s="6" t="s">
        <v>13</v>
      </c>
      <c r="D101" s="7">
        <v>3.0</v>
      </c>
      <c r="E101" s="8">
        <v>31.4</v>
      </c>
      <c r="F101" s="8">
        <v>31.7</v>
      </c>
      <c r="G101" s="8">
        <v>0.3000000000000007</v>
      </c>
    </row>
    <row r="102">
      <c r="B102" s="6" t="s">
        <v>21</v>
      </c>
      <c r="C102" s="6" t="s">
        <v>13</v>
      </c>
      <c r="D102" s="7">
        <v>4.0</v>
      </c>
      <c r="E102" s="8">
        <v>32.4</v>
      </c>
      <c r="F102" s="8">
        <v>32.7</v>
      </c>
      <c r="G102" s="8">
        <v>0.30000000000000426</v>
      </c>
    </row>
    <row r="103">
      <c r="B103" s="6" t="s">
        <v>21</v>
      </c>
      <c r="C103" s="6" t="s">
        <v>13</v>
      </c>
      <c r="D103" s="7">
        <v>5.0</v>
      </c>
      <c r="E103" s="8">
        <v>32.3</v>
      </c>
      <c r="F103" s="8">
        <v>32.7</v>
      </c>
      <c r="G103" s="8">
        <v>0.4000000000000057</v>
      </c>
    </row>
    <row r="104">
      <c r="B104" s="6" t="s">
        <v>21</v>
      </c>
      <c r="C104" s="6" t="s">
        <v>14</v>
      </c>
      <c r="D104" s="7">
        <v>1.0</v>
      </c>
      <c r="E104" s="8">
        <v>32.9</v>
      </c>
      <c r="F104" s="8">
        <v>33.3</v>
      </c>
      <c r="G104" s="8">
        <v>0.3999999999999986</v>
      </c>
    </row>
    <row r="105">
      <c r="B105" s="6" t="s">
        <v>21</v>
      </c>
      <c r="C105" s="6" t="s">
        <v>14</v>
      </c>
      <c r="D105" s="7">
        <v>2.0</v>
      </c>
      <c r="E105" s="8">
        <v>31.5</v>
      </c>
      <c r="F105" s="8">
        <v>31.9</v>
      </c>
      <c r="G105" s="8">
        <v>0.3999999999999986</v>
      </c>
    </row>
    <row r="106">
      <c r="B106" s="6" t="s">
        <v>21</v>
      </c>
      <c r="C106" s="6" t="s">
        <v>14</v>
      </c>
      <c r="D106" s="7">
        <v>3.0</v>
      </c>
      <c r="E106" s="8">
        <v>33.5</v>
      </c>
      <c r="F106" s="8">
        <v>33.2</v>
      </c>
      <c r="G106" s="8">
        <v>0.29999999999999716</v>
      </c>
    </row>
    <row r="107">
      <c r="B107" s="6" t="s">
        <v>21</v>
      </c>
      <c r="C107" s="6" t="s">
        <v>14</v>
      </c>
      <c r="D107" s="7">
        <v>4.0</v>
      </c>
      <c r="E107" s="8">
        <v>32.9</v>
      </c>
      <c r="F107" s="8">
        <v>33.0</v>
      </c>
      <c r="G107" s="8">
        <v>0.10000000000000142</v>
      </c>
    </row>
    <row r="108">
      <c r="B108" s="6" t="s">
        <v>21</v>
      </c>
      <c r="C108" s="6" t="s">
        <v>14</v>
      </c>
      <c r="D108" s="7">
        <v>5.0</v>
      </c>
      <c r="E108" s="8">
        <v>32.0</v>
      </c>
      <c r="F108" s="8">
        <v>31.7</v>
      </c>
      <c r="G108" s="8">
        <v>0.3000000000000007</v>
      </c>
    </row>
    <row r="109">
      <c r="B109" s="6" t="s">
        <v>21</v>
      </c>
      <c r="C109" s="6" t="s">
        <v>15</v>
      </c>
      <c r="D109" s="7">
        <v>1.0</v>
      </c>
      <c r="E109" s="8">
        <v>32.3</v>
      </c>
      <c r="F109" s="8">
        <v>32.7</v>
      </c>
      <c r="G109" s="8">
        <v>0.4000000000000057</v>
      </c>
    </row>
    <row r="110">
      <c r="B110" s="6" t="s">
        <v>21</v>
      </c>
      <c r="C110" s="6" t="s">
        <v>15</v>
      </c>
      <c r="D110" s="7">
        <v>2.0</v>
      </c>
      <c r="E110" s="8">
        <v>33.8</v>
      </c>
      <c r="F110" s="8">
        <v>34.2</v>
      </c>
      <c r="G110" s="8">
        <v>0.4000000000000057</v>
      </c>
    </row>
    <row r="111">
      <c r="B111" s="6" t="s">
        <v>21</v>
      </c>
      <c r="C111" s="6" t="s">
        <v>15</v>
      </c>
      <c r="D111" s="7">
        <v>3.0</v>
      </c>
      <c r="E111" s="8">
        <v>33.4</v>
      </c>
      <c r="F111" s="8">
        <v>33.3</v>
      </c>
      <c r="G111" s="8">
        <v>0.10000000000000142</v>
      </c>
    </row>
    <row r="112">
      <c r="B112" s="6" t="s">
        <v>21</v>
      </c>
      <c r="C112" s="6" t="s">
        <v>15</v>
      </c>
      <c r="D112" s="7">
        <v>4.0</v>
      </c>
      <c r="E112" s="8">
        <v>33.1</v>
      </c>
      <c r="F112" s="8">
        <v>32.8</v>
      </c>
      <c r="G112" s="8">
        <v>0.30000000000000426</v>
      </c>
    </row>
    <row r="113">
      <c r="B113" s="6" t="s">
        <v>21</v>
      </c>
      <c r="C113" s="6" t="s">
        <v>15</v>
      </c>
      <c r="D113" s="7">
        <v>5.0</v>
      </c>
      <c r="E113" s="8">
        <v>34.8</v>
      </c>
      <c r="F113" s="8">
        <v>34.4</v>
      </c>
      <c r="G113" s="8">
        <v>0.3999999999999986</v>
      </c>
    </row>
    <row r="114">
      <c r="B114" s="6" t="s">
        <v>22</v>
      </c>
      <c r="C114" s="6" t="s">
        <v>13</v>
      </c>
      <c r="D114" s="7">
        <v>1.0</v>
      </c>
      <c r="E114" s="8">
        <v>32.0</v>
      </c>
      <c r="F114" s="8">
        <v>31.9</v>
      </c>
      <c r="G114" s="8">
        <v>0.10000000000000142</v>
      </c>
    </row>
    <row r="115">
      <c r="B115" s="6" t="s">
        <v>22</v>
      </c>
      <c r="C115" s="6" t="s">
        <v>13</v>
      </c>
      <c r="D115" s="7">
        <v>2.0</v>
      </c>
      <c r="E115" s="8">
        <v>32.4</v>
      </c>
      <c r="F115" s="8">
        <v>32.7</v>
      </c>
      <c r="G115" s="8">
        <v>0.30000000000000426</v>
      </c>
    </row>
    <row r="116">
      <c r="B116" s="6" t="s">
        <v>22</v>
      </c>
      <c r="C116" s="6" t="s">
        <v>13</v>
      </c>
      <c r="D116" s="7">
        <v>3.0</v>
      </c>
      <c r="E116" s="8">
        <v>32.7</v>
      </c>
      <c r="F116" s="8">
        <v>32.5</v>
      </c>
      <c r="G116" s="8">
        <v>0.20000000000000284</v>
      </c>
    </row>
    <row r="117">
      <c r="B117" s="6" t="s">
        <v>22</v>
      </c>
      <c r="C117" s="6" t="s">
        <v>13</v>
      </c>
      <c r="D117" s="7">
        <v>4.0</v>
      </c>
      <c r="E117" s="8">
        <v>33.2</v>
      </c>
      <c r="F117" s="8">
        <v>33.0</v>
      </c>
      <c r="G117" s="8">
        <v>0.20000000000000284</v>
      </c>
    </row>
    <row r="118">
      <c r="B118" s="6" t="s">
        <v>22</v>
      </c>
      <c r="C118" s="6" t="s">
        <v>13</v>
      </c>
      <c r="D118" s="7">
        <v>5.0</v>
      </c>
      <c r="E118" s="8">
        <v>33.5</v>
      </c>
      <c r="F118" s="8">
        <v>33.9</v>
      </c>
      <c r="G118" s="8">
        <v>0.3999999999999986</v>
      </c>
    </row>
    <row r="119">
      <c r="B119" s="6" t="s">
        <v>22</v>
      </c>
      <c r="C119" s="6" t="s">
        <v>14</v>
      </c>
      <c r="D119" s="7">
        <v>1.0</v>
      </c>
      <c r="E119" s="8">
        <v>33.7</v>
      </c>
      <c r="F119" s="8">
        <v>33.5</v>
      </c>
      <c r="G119" s="8">
        <v>0.20000000000000284</v>
      </c>
    </row>
    <row r="120">
      <c r="B120" s="6" t="s">
        <v>22</v>
      </c>
      <c r="C120" s="6" t="s">
        <v>14</v>
      </c>
      <c r="D120" s="7">
        <v>2.0</v>
      </c>
      <c r="E120" s="8">
        <v>34.1</v>
      </c>
      <c r="F120" s="8">
        <v>34.4</v>
      </c>
      <c r="G120" s="8">
        <v>0.29999999999999716</v>
      </c>
    </row>
    <row r="121">
      <c r="B121" s="6" t="s">
        <v>22</v>
      </c>
      <c r="C121" s="6" t="s">
        <v>14</v>
      </c>
      <c r="D121" s="7">
        <v>3.0</v>
      </c>
      <c r="E121" s="8">
        <v>32.0</v>
      </c>
      <c r="F121" s="8">
        <v>32.3</v>
      </c>
      <c r="G121" s="8">
        <v>0.29999999999999716</v>
      </c>
    </row>
    <row r="122">
      <c r="B122" s="6" t="s">
        <v>22</v>
      </c>
      <c r="C122" s="6" t="s">
        <v>14</v>
      </c>
      <c r="D122" s="7">
        <v>4.0</v>
      </c>
      <c r="E122" s="8">
        <v>33.9</v>
      </c>
      <c r="F122" s="8">
        <v>34.1</v>
      </c>
      <c r="G122" s="8">
        <v>0.20000000000000284</v>
      </c>
    </row>
    <row r="123">
      <c r="B123" s="6" t="s">
        <v>22</v>
      </c>
      <c r="C123" s="6" t="s">
        <v>14</v>
      </c>
      <c r="D123" s="7">
        <v>5.0</v>
      </c>
      <c r="E123" s="8">
        <v>33.4</v>
      </c>
      <c r="F123" s="8">
        <v>33.5</v>
      </c>
      <c r="G123" s="8">
        <v>0.10000000000000142</v>
      </c>
    </row>
    <row r="124">
      <c r="B124" s="6" t="s">
        <v>22</v>
      </c>
      <c r="C124" s="6" t="s">
        <v>15</v>
      </c>
      <c r="D124" s="7">
        <v>1.0</v>
      </c>
      <c r="E124" s="8">
        <v>34.5</v>
      </c>
      <c r="F124" s="8">
        <v>34.0</v>
      </c>
      <c r="G124" s="8">
        <v>0.5</v>
      </c>
    </row>
    <row r="125">
      <c r="B125" s="6" t="s">
        <v>22</v>
      </c>
      <c r="C125" s="6" t="s">
        <v>15</v>
      </c>
      <c r="D125" s="7">
        <v>2.0</v>
      </c>
      <c r="E125" s="8">
        <v>34.0</v>
      </c>
      <c r="F125" s="8">
        <v>33.9</v>
      </c>
      <c r="G125" s="8">
        <v>0.10000000000000142</v>
      </c>
    </row>
    <row r="126">
      <c r="B126" s="6" t="s">
        <v>22</v>
      </c>
      <c r="C126" s="6" t="s">
        <v>15</v>
      </c>
      <c r="D126" s="7">
        <v>3.0</v>
      </c>
      <c r="E126" s="8">
        <v>33.1</v>
      </c>
      <c r="F126" s="8">
        <v>32.9</v>
      </c>
      <c r="G126" s="8">
        <v>0.20000000000000284</v>
      </c>
    </row>
    <row r="127">
      <c r="B127" s="6" t="s">
        <v>22</v>
      </c>
      <c r="C127" s="6" t="s">
        <v>15</v>
      </c>
      <c r="D127" s="7">
        <v>4.0</v>
      </c>
      <c r="E127" s="8">
        <v>34.1</v>
      </c>
      <c r="F127" s="8">
        <v>33.9</v>
      </c>
      <c r="G127" s="8">
        <v>0.20000000000000284</v>
      </c>
    </row>
    <row r="128">
      <c r="B128" s="6" t="s">
        <v>22</v>
      </c>
      <c r="C128" s="6" t="s">
        <v>15</v>
      </c>
      <c r="D128" s="7">
        <v>5.0</v>
      </c>
      <c r="E128" s="8">
        <v>32.0</v>
      </c>
      <c r="F128" s="8">
        <v>32.2</v>
      </c>
      <c r="G128" s="8">
        <v>0.20000000000000284</v>
      </c>
    </row>
    <row r="129">
      <c r="B129" s="6" t="s">
        <v>23</v>
      </c>
      <c r="C129" s="6" t="s">
        <v>13</v>
      </c>
      <c r="D129" s="7">
        <v>1.0</v>
      </c>
      <c r="E129" s="8">
        <v>32.4</v>
      </c>
      <c r="F129" s="8">
        <v>32.5</v>
      </c>
      <c r="G129" s="8">
        <v>0.10000000000000142</v>
      </c>
    </row>
    <row r="130">
      <c r="B130" s="6" t="s">
        <v>23</v>
      </c>
      <c r="C130" s="6" t="s">
        <v>13</v>
      </c>
      <c r="D130" s="7">
        <v>2.0</v>
      </c>
      <c r="E130" s="8">
        <v>33.3</v>
      </c>
      <c r="F130" s="8">
        <v>33.7</v>
      </c>
      <c r="G130" s="8">
        <v>0.4000000000000057</v>
      </c>
    </row>
    <row r="131">
      <c r="B131" s="6" t="s">
        <v>23</v>
      </c>
      <c r="C131" s="6" t="s">
        <v>13</v>
      </c>
      <c r="D131" s="7">
        <v>3.0</v>
      </c>
      <c r="E131" s="8">
        <v>31.2</v>
      </c>
      <c r="F131" s="8">
        <v>31.1</v>
      </c>
      <c r="G131" s="8">
        <v>0.09999999999999787</v>
      </c>
    </row>
    <row r="132">
      <c r="B132" s="6" t="s">
        <v>23</v>
      </c>
      <c r="C132" s="6" t="s">
        <v>13</v>
      </c>
      <c r="D132" s="7">
        <v>4.0</v>
      </c>
      <c r="E132" s="8">
        <v>34.7</v>
      </c>
      <c r="F132" s="8">
        <v>34.5</v>
      </c>
      <c r="G132" s="8">
        <v>0.20000000000000284</v>
      </c>
    </row>
    <row r="133">
      <c r="B133" s="6" t="s">
        <v>23</v>
      </c>
      <c r="C133" s="6" t="s">
        <v>13</v>
      </c>
      <c r="D133" s="7">
        <v>5.0</v>
      </c>
      <c r="E133" s="8">
        <v>33.4</v>
      </c>
      <c r="F133" s="8">
        <v>33.2</v>
      </c>
      <c r="G133" s="8">
        <v>0.19999999999999574</v>
      </c>
    </row>
    <row r="134">
      <c r="B134" s="6" t="s">
        <v>23</v>
      </c>
      <c r="C134" s="6" t="s">
        <v>14</v>
      </c>
      <c r="D134" s="7">
        <v>1.0</v>
      </c>
      <c r="E134" s="8">
        <v>32.6</v>
      </c>
      <c r="F134" s="8">
        <v>32.3</v>
      </c>
      <c r="G134" s="8">
        <v>0.30000000000000426</v>
      </c>
    </row>
    <row r="135">
      <c r="B135" s="6" t="s">
        <v>23</v>
      </c>
      <c r="C135" s="6" t="s">
        <v>14</v>
      </c>
      <c r="D135" s="7">
        <v>2.0</v>
      </c>
      <c r="E135" s="8">
        <v>34.1</v>
      </c>
      <c r="F135" s="8">
        <v>34.2</v>
      </c>
      <c r="G135" s="8">
        <v>0.10000000000000142</v>
      </c>
    </row>
    <row r="136">
      <c r="B136" s="6" t="s">
        <v>23</v>
      </c>
      <c r="C136" s="6" t="s">
        <v>14</v>
      </c>
      <c r="D136" s="7">
        <v>3.0</v>
      </c>
      <c r="E136" s="8">
        <v>33.3</v>
      </c>
      <c r="F136" s="8">
        <v>33.5</v>
      </c>
      <c r="G136" s="8">
        <v>0.20000000000000284</v>
      </c>
    </row>
    <row r="137">
      <c r="B137" s="6" t="s">
        <v>23</v>
      </c>
      <c r="C137" s="6" t="s">
        <v>14</v>
      </c>
      <c r="D137" s="7">
        <v>4.0</v>
      </c>
      <c r="E137" s="8">
        <v>34.6</v>
      </c>
      <c r="F137" s="8">
        <v>34.5</v>
      </c>
      <c r="G137" s="8">
        <v>0.10000000000000142</v>
      </c>
    </row>
    <row r="138">
      <c r="B138" s="6" t="s">
        <v>23</v>
      </c>
      <c r="C138" s="6" t="s">
        <v>14</v>
      </c>
      <c r="D138" s="7">
        <v>5.0</v>
      </c>
      <c r="E138" s="8">
        <v>33.1</v>
      </c>
      <c r="F138" s="8">
        <v>32.8</v>
      </c>
      <c r="G138" s="8">
        <v>0.30000000000000426</v>
      </c>
    </row>
    <row r="139">
      <c r="B139" s="6" t="s">
        <v>23</v>
      </c>
      <c r="C139" s="6" t="s">
        <v>15</v>
      </c>
      <c r="D139" s="7">
        <v>1.0</v>
      </c>
      <c r="E139" s="8">
        <v>32.0</v>
      </c>
      <c r="F139" s="8">
        <v>31.7</v>
      </c>
      <c r="G139" s="8">
        <v>0.3000000000000007</v>
      </c>
    </row>
    <row r="140">
      <c r="B140" s="6" t="s">
        <v>23</v>
      </c>
      <c r="C140" s="6" t="s">
        <v>15</v>
      </c>
      <c r="D140" s="7">
        <v>2.0</v>
      </c>
      <c r="E140" s="8">
        <v>34.6</v>
      </c>
      <c r="F140" s="8">
        <v>34.1</v>
      </c>
      <c r="G140" s="8">
        <v>0.5</v>
      </c>
    </row>
    <row r="141">
      <c r="B141" s="6" t="s">
        <v>23</v>
      </c>
      <c r="C141" s="6" t="s">
        <v>15</v>
      </c>
      <c r="D141" s="7">
        <v>3.0</v>
      </c>
      <c r="E141" s="8">
        <v>33.0</v>
      </c>
      <c r="F141" s="8">
        <v>33.5</v>
      </c>
      <c r="G141" s="8">
        <v>0.5</v>
      </c>
    </row>
    <row r="142">
      <c r="B142" s="6" t="s">
        <v>23</v>
      </c>
      <c r="C142" s="6" t="s">
        <v>15</v>
      </c>
      <c r="D142" s="7">
        <v>4.0</v>
      </c>
      <c r="E142" s="8">
        <v>34.6</v>
      </c>
      <c r="F142" s="8">
        <v>34.3</v>
      </c>
      <c r="G142" s="8">
        <v>0.30000000000000426</v>
      </c>
    </row>
    <row r="143">
      <c r="B143" s="6" t="s">
        <v>23</v>
      </c>
      <c r="C143" s="6" t="s">
        <v>15</v>
      </c>
      <c r="D143" s="7">
        <v>5.0</v>
      </c>
      <c r="E143" s="8">
        <v>33.3</v>
      </c>
      <c r="F143" s="8">
        <v>33.0</v>
      </c>
      <c r="G143" s="8">
        <v>0.29999999999999716</v>
      </c>
    </row>
    <row r="144">
      <c r="B144" s="6" t="s">
        <v>24</v>
      </c>
      <c r="C144" s="6" t="s">
        <v>13</v>
      </c>
      <c r="D144" s="7">
        <v>1.0</v>
      </c>
      <c r="E144" s="8">
        <v>34.7</v>
      </c>
      <c r="F144" s="8">
        <v>34.4</v>
      </c>
      <c r="G144" s="8">
        <v>0.30000000000000426</v>
      </c>
    </row>
    <row r="145">
      <c r="B145" s="6" t="s">
        <v>24</v>
      </c>
      <c r="C145" s="6" t="s">
        <v>13</v>
      </c>
      <c r="D145" s="7">
        <v>2.0</v>
      </c>
      <c r="E145" s="8">
        <v>33.7</v>
      </c>
      <c r="F145" s="8">
        <v>33.8</v>
      </c>
      <c r="G145" s="8">
        <v>0.09999999999999432</v>
      </c>
    </row>
    <row r="146">
      <c r="B146" s="6" t="s">
        <v>24</v>
      </c>
      <c r="C146" s="6" t="s">
        <v>13</v>
      </c>
      <c r="D146" s="7">
        <v>3.0</v>
      </c>
      <c r="E146" s="8">
        <v>33.1</v>
      </c>
      <c r="F146" s="8">
        <v>32.8</v>
      </c>
      <c r="G146" s="8">
        <v>0.30000000000000426</v>
      </c>
    </row>
    <row r="147">
      <c r="B147" s="6" t="s">
        <v>24</v>
      </c>
      <c r="C147" s="6" t="s">
        <v>13</v>
      </c>
      <c r="D147" s="7">
        <v>4.0</v>
      </c>
      <c r="E147" s="8">
        <v>32.5</v>
      </c>
      <c r="F147" s="8">
        <v>32.7</v>
      </c>
      <c r="G147" s="8">
        <v>0.20000000000000284</v>
      </c>
    </row>
    <row r="148">
      <c r="B148" s="6" t="s">
        <v>24</v>
      </c>
      <c r="C148" s="6" t="s">
        <v>13</v>
      </c>
      <c r="D148" s="7">
        <v>5.0</v>
      </c>
      <c r="E148" s="8">
        <v>32.9</v>
      </c>
      <c r="F148" s="8">
        <v>32.4</v>
      </c>
      <c r="G148" s="8">
        <v>0.5</v>
      </c>
    </row>
    <row r="149">
      <c r="B149" s="6" t="s">
        <v>24</v>
      </c>
      <c r="C149" s="6" t="s">
        <v>14</v>
      </c>
      <c r="D149" s="7">
        <v>1.0</v>
      </c>
      <c r="E149" s="8">
        <v>33.4</v>
      </c>
      <c r="F149" s="8">
        <v>33.3</v>
      </c>
      <c r="G149" s="8">
        <v>0.10000000000000142</v>
      </c>
    </row>
    <row r="150">
      <c r="B150" s="6" t="s">
        <v>24</v>
      </c>
      <c r="C150" s="6" t="s">
        <v>14</v>
      </c>
      <c r="D150" s="7">
        <v>2.0</v>
      </c>
      <c r="E150" s="8">
        <v>33.9</v>
      </c>
      <c r="F150" s="8">
        <v>34.2</v>
      </c>
      <c r="G150" s="8">
        <v>0.30000000000000426</v>
      </c>
    </row>
    <row r="151">
      <c r="B151" s="6" t="s">
        <v>24</v>
      </c>
      <c r="C151" s="6" t="s">
        <v>14</v>
      </c>
      <c r="D151" s="7">
        <v>3.0</v>
      </c>
      <c r="E151" s="8">
        <v>31.6</v>
      </c>
      <c r="F151" s="8">
        <v>31.9</v>
      </c>
      <c r="G151" s="8">
        <v>0.29999999999999716</v>
      </c>
    </row>
    <row r="152">
      <c r="B152" s="6" t="s">
        <v>24</v>
      </c>
      <c r="C152" s="6" t="s">
        <v>14</v>
      </c>
      <c r="D152" s="7">
        <v>4.0</v>
      </c>
      <c r="E152" s="8">
        <v>31.8</v>
      </c>
      <c r="F152" s="8">
        <v>32.0</v>
      </c>
      <c r="G152" s="8">
        <v>0.1999999999999993</v>
      </c>
    </row>
    <row r="153">
      <c r="B153" s="6" t="s">
        <v>24</v>
      </c>
      <c r="C153" s="6" t="s">
        <v>14</v>
      </c>
      <c r="D153" s="7">
        <v>5.0</v>
      </c>
      <c r="E153" s="8">
        <v>32.8</v>
      </c>
      <c r="F153" s="8">
        <v>33.0</v>
      </c>
      <c r="G153" s="8">
        <v>0.20000000000000284</v>
      </c>
    </row>
    <row r="154">
      <c r="B154" s="6" t="s">
        <v>24</v>
      </c>
      <c r="C154" s="6" t="s">
        <v>15</v>
      </c>
      <c r="D154" s="7">
        <v>1.0</v>
      </c>
      <c r="E154" s="8">
        <v>32.1</v>
      </c>
      <c r="F154" s="8">
        <v>32.6</v>
      </c>
      <c r="G154" s="8">
        <v>0.5</v>
      </c>
    </row>
    <row r="155">
      <c r="B155" s="6" t="s">
        <v>24</v>
      </c>
      <c r="C155" s="6" t="s">
        <v>15</v>
      </c>
      <c r="D155" s="7">
        <v>2.0</v>
      </c>
      <c r="E155" s="8">
        <v>33.7</v>
      </c>
      <c r="F155" s="8">
        <v>33.2</v>
      </c>
      <c r="G155" s="8">
        <v>0.5</v>
      </c>
    </row>
    <row r="156">
      <c r="B156" s="6" t="s">
        <v>24</v>
      </c>
      <c r="C156" s="6" t="s">
        <v>15</v>
      </c>
      <c r="D156" s="7">
        <v>3.0</v>
      </c>
      <c r="E156" s="8">
        <v>32.5</v>
      </c>
      <c r="F156" s="8">
        <v>32.2</v>
      </c>
      <c r="G156" s="8">
        <v>0.29999999999999716</v>
      </c>
    </row>
    <row r="157">
      <c r="B157" s="6" t="s">
        <v>24</v>
      </c>
      <c r="C157" s="6" t="s">
        <v>15</v>
      </c>
      <c r="D157" s="7">
        <v>4.0</v>
      </c>
      <c r="E157" s="8">
        <v>32.8</v>
      </c>
      <c r="F157" s="8">
        <v>33.1</v>
      </c>
      <c r="G157" s="8">
        <v>0.30000000000000426</v>
      </c>
    </row>
    <row r="158">
      <c r="B158" s="6" t="s">
        <v>24</v>
      </c>
      <c r="C158" s="6" t="s">
        <v>15</v>
      </c>
      <c r="D158" s="7">
        <v>5.0</v>
      </c>
      <c r="E158" s="8">
        <v>31.7</v>
      </c>
      <c r="F158" s="8">
        <v>31.8</v>
      </c>
      <c r="G158" s="8">
        <v>0.10000000000000142</v>
      </c>
    </row>
  </sheetData>
  <dataValidations>
    <dataValidation type="list" allowBlank="1" sqref="D9:D158">
      <formula1>"1,2,3,4,5"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</cols>
  <sheetData>
    <row r="1" ht="6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0</v>
      </c>
      <c r="C2" s="1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25</v>
      </c>
      <c r="C3" s="10">
        <f>AVERAGE(C9:C38)</f>
        <v>3.581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26</v>
      </c>
      <c r="C4" s="10">
        <f>_xlfn.STDEV.S(C9:C38)</f>
        <v>0.7455678234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27</v>
      </c>
      <c r="C5" s="10">
        <f>MAX(C9:C38)</f>
        <v>4.79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28</v>
      </c>
      <c r="C6" s="10">
        <f>MIN(C9:C38)</f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" t="s">
        <v>8</v>
      </c>
      <c r="C8" s="5" t="s">
        <v>29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7">
        <v>1.0</v>
      </c>
      <c r="C9" s="11">
        <v>3.26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7">
        <v>2.0</v>
      </c>
      <c r="C10" s="11">
        <v>3.21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7">
        <v>3.0</v>
      </c>
      <c r="C11" s="11">
        <v>2.62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4.0</v>
      </c>
      <c r="C12" s="11">
        <v>4.51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7">
        <v>5.0</v>
      </c>
      <c r="C13" s="11">
        <v>3.49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7">
        <v>6.0</v>
      </c>
      <c r="C14" s="11">
        <v>3.58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7">
        <v>7.0</v>
      </c>
      <c r="C15" s="11">
        <v>4.28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7">
        <v>8.0</v>
      </c>
      <c r="C16" s="11">
        <v>4.79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7">
        <v>9.0</v>
      </c>
      <c r="C17" s="11">
        <v>4.51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7">
        <v>10.0</v>
      </c>
      <c r="C18" s="11">
        <v>2.0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7">
        <v>11.0</v>
      </c>
      <c r="C19" s="11">
        <v>4.37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7">
        <v>12.0</v>
      </c>
      <c r="C20" s="11">
        <v>4.22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7">
        <v>13.0</v>
      </c>
      <c r="C21" s="11">
        <v>3.93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7">
        <v>14.0</v>
      </c>
      <c r="C22" s="11">
        <v>2.66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7">
        <v>15.0</v>
      </c>
      <c r="C23" s="11">
        <v>3.81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7">
        <v>16.0</v>
      </c>
      <c r="C24" s="11">
        <v>4.42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7">
        <v>17.0</v>
      </c>
      <c r="C25" s="11">
        <v>4.27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7">
        <v>18.0</v>
      </c>
      <c r="C26" s="11">
        <v>4.04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7">
        <v>19.0</v>
      </c>
      <c r="C27" s="11">
        <v>3.03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7">
        <v>20.0</v>
      </c>
      <c r="C28" s="11">
        <v>3.31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7">
        <v>21.0</v>
      </c>
      <c r="C29" s="11">
        <v>3.5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7">
        <v>22.0</v>
      </c>
      <c r="C30" s="11">
        <v>4.09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7">
        <v>23.0</v>
      </c>
      <c r="C31" s="11">
        <v>2.64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7">
        <v>24.0</v>
      </c>
      <c r="C32" s="11">
        <v>3.33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7">
        <v>25.0</v>
      </c>
      <c r="C33" s="11">
        <v>3.15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7">
        <v>26.0</v>
      </c>
      <c r="C34" s="11">
        <v>4.47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7">
        <v>27.0</v>
      </c>
      <c r="C35" s="11">
        <v>2.42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7">
        <v>28.0</v>
      </c>
      <c r="C36" s="11">
        <v>3.94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7">
        <v>29.0</v>
      </c>
      <c r="C37" s="11">
        <v>2.66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7">
        <v>30.0</v>
      </c>
      <c r="C38" s="11">
        <v>2.92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